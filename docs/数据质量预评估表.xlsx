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维度汇总" sheetId="1" state="visible" r:id="rId1"/>
    <sheet name="明细扫描" sheetId="2" state="visible" r:id="rId2"/>
    <sheet name="清洗执行结果" sheetId="3" state="visible" r:id="rId3"/>
  </sheets>
  <definedNames>
    <definedName name="_xlnm._FilterDatabase" localSheetId="1" hidden="1">'明细扫描'!$A$2:$G$27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72" customWidth="1" min="5" max="5"/>
  </cols>
  <sheetData>
    <row r="1">
      <c r="A1" s="1" t="inlineStr">
        <is>
          <t>云购生活新零售 · 第1周数据质量预评估汇总（扫描范围：ydsh_ods 6 张 ODS 表）</t>
        </is>
      </c>
    </row>
    <row r="2">
      <c r="A2" s="2" t="inlineStr">
        <is>
          <t>序号</t>
        </is>
      </c>
      <c r="B2" s="2" t="inlineStr">
        <is>
          <t>维度</t>
        </is>
      </c>
      <c r="C2" s="2" t="inlineStr">
        <is>
          <t>检查项数</t>
        </is>
      </c>
      <c r="D2" s="2" t="inlineStr">
        <is>
          <t>严重项数</t>
        </is>
      </c>
      <c r="E2" s="2" t="inlineStr">
        <is>
          <t>主要发现</t>
        </is>
      </c>
    </row>
    <row r="3">
      <c r="A3" s="3" t="n">
        <v>1</v>
      </c>
      <c r="B3" s="3" t="inlineStr">
        <is>
          <t>完整性</t>
        </is>
      </c>
      <c r="C3" s="4">
        <f>COUNTIF(明细扫描!A:A,B3)</f>
        <v>6.0</v>
      </c>
      <c r="D3" s="4">
        <f>COUNTIFS(明细扫描!A:A,B3,明细扫描!G:G,"严重")</f>
        <v>1.0</v>
      </c>
      <c r="E3" s="5" t="inlineStr">
        <is>
          <t>age 缺失 5.10%、email 缺失 19.30%、launch_date 缺失 1.83%；三张事实表无空值</t>
        </is>
      </c>
    </row>
    <row r="4">
      <c r="A4" s="6" t="n">
        <v>2</v>
      </c>
      <c r="B4" s="6" t="inlineStr">
        <is>
          <t>唯一性</t>
        </is>
      </c>
      <c r="C4" s="7">
        <f>COUNTIF(明细扫描!A:A,B4)</f>
        <v>6.0</v>
      </c>
      <c r="D4" s="7">
        <f>COUNTIFS(明细扫描!A:A,B4,明细扫描!G:G,"严重")</f>
        <v>1.0</v>
      </c>
      <c r="E4" s="8" t="inlineStr">
        <is>
          <t>仅 ods_order 存在主键重复：586 个重复 order_id、多余 600 行（3.85%），其中整行重复 394 组、主键重复内容不同 192 组</t>
        </is>
      </c>
    </row>
    <row r="5">
      <c r="A5" s="3" t="n">
        <v>3</v>
      </c>
      <c r="B5" s="3" t="inlineStr">
        <is>
          <t>有效性</t>
        </is>
      </c>
      <c r="C5" s="4">
        <f>COUNTIF(明细扫描!A:A,B5)</f>
        <v>6.0</v>
      </c>
      <c r="D5" s="4">
        <f>COUNTIFS(明细扫描!A:A,B5,明细扫描!G:G,"严重")</f>
        <v>3.0</v>
      </c>
      <c r="E5" s="5" t="inlineStr">
        <is>
          <t>order_status/pay_type/channel/gender/member_level/behavior_type 均存在中英文与大小写混用；商品状态规范</t>
        </is>
      </c>
    </row>
    <row r="6">
      <c r="A6" s="6" t="n">
        <v>4</v>
      </c>
      <c r="B6" s="6" t="inlineStr">
        <is>
          <t>一致性</t>
        </is>
      </c>
      <c r="C6" s="7">
        <f>COUNTIF(明细扫描!A:A,B6)</f>
        <v>3.0</v>
      </c>
      <c r="D6" s="7">
        <f>COUNTIFS(明细扫描!A:A,B6,明细扫描!G:G,"严重")</f>
        <v>2.0</v>
      </c>
      <c r="E6" s="8" t="inlineStr">
        <is>
          <t>注册日期 3 种格式混用 12.50%、订单日期 2 种格式混用 12.19%、手机号带横线 10.20%</t>
        </is>
      </c>
    </row>
    <row r="7">
      <c r="A7" s="3" t="n">
        <v>5</v>
      </c>
      <c r="B7" s="3" t="inlineStr">
        <is>
          <t>准确性</t>
        </is>
      </c>
      <c r="C7" s="4">
        <f>COUNTIF(明细扫描!A:A,B7)</f>
        <v>4.0</v>
      </c>
      <c r="D7" s="4">
        <f>COUNTIFS(明细扫描!A:A,B7,明细扫描!G:G,"严重")</f>
        <v>0.0</v>
      </c>
      <c r="E7" s="5" t="inlineStr">
        <is>
          <t>异常年龄 19 行、异常价格 36 行、异常订单金额 601 行、异常购买数量 1081 行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10" customWidth="1" min="4" max="4"/>
    <col width="10" customWidth="1" min="5" max="5"/>
    <col width="9" customWidth="1" min="6" max="6"/>
    <col width="8" customWidth="1" min="7" max="7"/>
  </cols>
  <sheetData>
    <row r="1">
      <c r="A1" s="1" t="inlineStr">
        <is>
          <t>五维度扫描明细（数据来源：sql/quality/quality_check.sql 于 Hive 实测）</t>
        </is>
      </c>
    </row>
    <row r="2">
      <c r="A2" s="2" t="inlineStr">
        <is>
          <t>维度</t>
        </is>
      </c>
      <c r="B2" s="2" t="inlineStr">
        <is>
          <t>表.字段</t>
        </is>
      </c>
      <c r="C2" s="2" t="inlineStr">
        <is>
          <t>检查项</t>
        </is>
      </c>
      <c r="D2" s="2" t="inlineStr">
        <is>
          <t>检测值</t>
        </is>
      </c>
      <c r="E2" s="2" t="inlineStr">
        <is>
          <t>基准行数</t>
        </is>
      </c>
      <c r="F2" s="2" t="inlineStr">
        <is>
          <t>占比</t>
        </is>
      </c>
      <c r="G2" s="2" t="inlineStr">
        <is>
          <t>状态</t>
        </is>
      </c>
    </row>
    <row r="3">
      <c r="A3" s="6" t="inlineStr">
        <is>
          <t>完整性</t>
        </is>
      </c>
      <c r="B3" s="8" t="inlineStr">
        <is>
          <t>ods_user.age</t>
        </is>
      </c>
      <c r="C3" s="8" t="inlineStr">
        <is>
          <t>空值数</t>
        </is>
      </c>
      <c r="D3" s="9" t="n">
        <v>51</v>
      </c>
      <c r="E3" s="9" t="n">
        <v>1000</v>
      </c>
      <c r="F3" s="10">
        <f>IF(OR(E3="",E3=0),"",D3/E3)</f>
        <v>0.051</v>
      </c>
      <c r="G3" s="6" t="inlineStr">
        <is>
          <t>一般</t>
        </is>
      </c>
    </row>
    <row r="4">
      <c r="A4" s="6" t="inlineStr">
        <is>
          <t>完整性</t>
        </is>
      </c>
      <c r="B4" s="8" t="inlineStr">
        <is>
          <t>ods_user.email</t>
        </is>
      </c>
      <c r="C4" s="8" t="inlineStr">
        <is>
          <t>空值数</t>
        </is>
      </c>
      <c r="D4" s="9" t="n">
        <v>193</v>
      </c>
      <c r="E4" s="9" t="n">
        <v>1000</v>
      </c>
      <c r="F4" s="10">
        <f>IF(OR(E4="",E4=0),"",D4/E4)</f>
        <v>0.193</v>
      </c>
      <c r="G4" s="6" t="inlineStr">
        <is>
          <t>严重</t>
        </is>
      </c>
    </row>
    <row r="5">
      <c r="A5" s="6" t="inlineStr">
        <is>
          <t>完整性</t>
        </is>
      </c>
      <c r="B5" s="8" t="inlineStr">
        <is>
          <t>ods_product.launch_date</t>
        </is>
      </c>
      <c r="C5" s="8" t="inlineStr">
        <is>
          <t>空值数</t>
        </is>
      </c>
      <c r="D5" s="9" t="n">
        <v>11</v>
      </c>
      <c r="E5" s="9" t="n">
        <v>600</v>
      </c>
      <c r="F5" s="10">
        <f>IF(OR(E5="",E5=0),"",D5/E5)</f>
        <v>0.018333333333333333</v>
      </c>
      <c r="G5" s="6" t="inlineStr">
        <is>
          <t>一般</t>
        </is>
      </c>
    </row>
    <row r="6">
      <c r="A6" s="6" t="inlineStr">
        <is>
          <t>完整性</t>
        </is>
      </c>
      <c r="B6" s="8" t="inlineStr">
        <is>
          <t>ods_order.pay_amount</t>
        </is>
      </c>
      <c r="C6" s="8" t="inlineStr">
        <is>
          <t>空值数</t>
        </is>
      </c>
      <c r="D6" s="9" t="n">
        <v>0</v>
      </c>
      <c r="E6" s="9" t="n">
        <v>15600</v>
      </c>
      <c r="F6" s="10">
        <f>IF(OR(E6="",E6=0),"",D6/E6)</f>
        <v>0.0</v>
      </c>
      <c r="G6" s="6" t="inlineStr">
        <is>
          <t>良好</t>
        </is>
      </c>
    </row>
    <row r="7">
      <c r="A7" s="6" t="inlineStr">
        <is>
          <t>完整性</t>
        </is>
      </c>
      <c r="B7" s="8" t="inlineStr">
        <is>
          <t>ods_order_item.quantity</t>
        </is>
      </c>
      <c r="C7" s="8" t="inlineStr">
        <is>
          <t>空值数</t>
        </is>
      </c>
      <c r="D7" s="9" t="n">
        <v>0</v>
      </c>
      <c r="E7" s="9" t="n">
        <v>37549</v>
      </c>
      <c r="F7" s="10">
        <f>IF(OR(E7="",E7=0),"",D7/E7)</f>
        <v>0.0</v>
      </c>
      <c r="G7" s="6" t="inlineStr">
        <is>
          <t>良好</t>
        </is>
      </c>
    </row>
    <row r="8">
      <c r="A8" s="6" t="inlineStr">
        <is>
          <t>完整性</t>
        </is>
      </c>
      <c r="B8" s="8" t="inlineStr">
        <is>
          <t>ods_user_behavior.behavior_time</t>
        </is>
      </c>
      <c r="C8" s="8" t="inlineStr">
        <is>
          <t>空值数</t>
        </is>
      </c>
      <c r="D8" s="9" t="n">
        <v>0</v>
      </c>
      <c r="E8" s="9" t="n">
        <v>60000</v>
      </c>
      <c r="F8" s="10">
        <f>IF(OR(E8="",E8=0),"",D8/E8)</f>
        <v>0.0</v>
      </c>
      <c r="G8" s="6" t="inlineStr">
        <is>
          <t>良好</t>
        </is>
      </c>
    </row>
    <row r="9">
      <c r="A9" s="6" t="inlineStr">
        <is>
          <t>唯一性</t>
        </is>
      </c>
      <c r="B9" s="8" t="inlineStr">
        <is>
          <t>ods_user.user_id</t>
        </is>
      </c>
      <c r="C9" s="8" t="inlineStr">
        <is>
          <t>主键重复行数</t>
        </is>
      </c>
      <c r="D9" s="9" t="n">
        <v>0</v>
      </c>
      <c r="E9" s="9" t="n">
        <v>1000</v>
      </c>
      <c r="F9" s="10">
        <f>IF(OR(E9="",E9=0),"",D9/E9)</f>
        <v>0.0</v>
      </c>
      <c r="G9" s="6" t="inlineStr">
        <is>
          <t>良好</t>
        </is>
      </c>
    </row>
    <row r="10">
      <c r="A10" s="6" t="inlineStr">
        <is>
          <t>唯一性</t>
        </is>
      </c>
      <c r="B10" s="8" t="inlineStr">
        <is>
          <t>ods_product.product_id</t>
        </is>
      </c>
      <c r="C10" s="8" t="inlineStr">
        <is>
          <t>主键重复行数</t>
        </is>
      </c>
      <c r="D10" s="9" t="n">
        <v>0</v>
      </c>
      <c r="E10" s="9" t="n">
        <v>600</v>
      </c>
      <c r="F10" s="10">
        <f>IF(OR(E10="",E10=0),"",D10/E10)</f>
        <v>0.0</v>
      </c>
      <c r="G10" s="6" t="inlineStr">
        <is>
          <t>良好</t>
        </is>
      </c>
    </row>
    <row r="11">
      <c r="A11" s="6" t="inlineStr">
        <is>
          <t>唯一性</t>
        </is>
      </c>
      <c r="B11" s="8" t="inlineStr">
        <is>
          <t>ods_store.store_id</t>
        </is>
      </c>
      <c r="C11" s="8" t="inlineStr">
        <is>
          <t>主键重复行数</t>
        </is>
      </c>
      <c r="D11" s="9" t="n">
        <v>0</v>
      </c>
      <c r="E11" s="9" t="n">
        <v>60</v>
      </c>
      <c r="F11" s="10">
        <f>IF(OR(E11="",E11=0),"",D11/E11)</f>
        <v>0.0</v>
      </c>
      <c r="G11" s="6" t="inlineStr">
        <is>
          <t>良好</t>
        </is>
      </c>
    </row>
    <row r="12">
      <c r="A12" s="6" t="inlineStr">
        <is>
          <t>唯一性</t>
        </is>
      </c>
      <c r="B12" s="8" t="inlineStr">
        <is>
          <t>ods_order.order_id</t>
        </is>
      </c>
      <c r="C12" s="8" t="inlineStr">
        <is>
          <t>主键重复多余行数</t>
        </is>
      </c>
      <c r="D12" s="9" t="n">
        <v>600</v>
      </c>
      <c r="E12" s="9" t="n">
        <v>15600</v>
      </c>
      <c r="F12" s="10">
        <f>IF(OR(E12="",E12=0),"",D12/E12)</f>
        <v>0.038461538461538464</v>
      </c>
      <c r="G12" s="6" t="inlineStr">
        <is>
          <t>严重</t>
        </is>
      </c>
    </row>
    <row r="13">
      <c r="A13" s="6" t="inlineStr">
        <is>
          <t>唯一性</t>
        </is>
      </c>
      <c r="B13" s="8" t="inlineStr">
        <is>
          <t>ods_order_item.item_id</t>
        </is>
      </c>
      <c r="C13" s="8" t="inlineStr">
        <is>
          <t>主键重复行数</t>
        </is>
      </c>
      <c r="D13" s="9" t="n">
        <v>0</v>
      </c>
      <c r="E13" s="9" t="n">
        <v>37549</v>
      </c>
      <c r="F13" s="10">
        <f>IF(OR(E13="",E13=0),"",D13/E13)</f>
        <v>0.0</v>
      </c>
      <c r="G13" s="6" t="inlineStr">
        <is>
          <t>良好</t>
        </is>
      </c>
    </row>
    <row r="14">
      <c r="A14" s="6" t="inlineStr">
        <is>
          <t>唯一性</t>
        </is>
      </c>
      <c r="B14" s="8" t="inlineStr">
        <is>
          <t>ods_user_behavior.behavior_id</t>
        </is>
      </c>
      <c r="C14" s="8" t="inlineStr">
        <is>
          <t>主键重复行数</t>
        </is>
      </c>
      <c r="D14" s="9" t="n">
        <v>0</v>
      </c>
      <c r="E14" s="9" t="n">
        <v>60000</v>
      </c>
      <c r="F14" s="10">
        <f>IF(OR(E14="",E14=0),"",D14/E14)</f>
        <v>0.0</v>
      </c>
      <c r="G14" s="6" t="inlineStr">
        <is>
          <t>良好</t>
        </is>
      </c>
    </row>
    <row r="15">
      <c r="A15" s="6" t="inlineStr">
        <is>
          <t>准确性</t>
        </is>
      </c>
      <c r="B15" s="8" t="inlineStr">
        <is>
          <t>ods_user.age</t>
        </is>
      </c>
      <c r="C15" s="8" t="inlineStr">
        <is>
          <t>异常行数（&lt;0 或 &gt;120）</t>
        </is>
      </c>
      <c r="D15" s="9" t="n">
        <v>19</v>
      </c>
      <c r="E15" s="9" t="n">
        <v>1000</v>
      </c>
      <c r="F15" s="10">
        <f>IF(OR(E15="",E15=0),"",D15/E15)</f>
        <v>0.019</v>
      </c>
      <c r="G15" s="6" t="inlineStr">
        <is>
          <t>一般</t>
        </is>
      </c>
    </row>
    <row r="16">
      <c r="A16" s="6" t="inlineStr">
        <is>
          <t>准确性</t>
        </is>
      </c>
      <c r="B16" s="8" t="inlineStr">
        <is>
          <t>ods_product.price</t>
        </is>
      </c>
      <c r="C16" s="8" t="inlineStr">
        <is>
          <t>异常行数（&lt;0 或 &gt;100000）</t>
        </is>
      </c>
      <c r="D16" s="9" t="n">
        <v>36</v>
      </c>
      <c r="E16" s="9" t="n">
        <v>600</v>
      </c>
      <c r="F16" s="10">
        <f>IF(OR(E16="",E16=0),"",D16/E16)</f>
        <v>0.06</v>
      </c>
      <c r="G16" s="6" t="inlineStr">
        <is>
          <t>一般</t>
        </is>
      </c>
    </row>
    <row r="17">
      <c r="A17" s="6" t="inlineStr">
        <is>
          <t>准确性</t>
        </is>
      </c>
      <c r="B17" s="8" t="inlineStr">
        <is>
          <t>ods_order.pay_amount</t>
        </is>
      </c>
      <c r="C17" s="8" t="inlineStr">
        <is>
          <t>异常行数（&lt;0 或 &gt;1000000）</t>
        </is>
      </c>
      <c r="D17" s="9" t="n">
        <v>601</v>
      </c>
      <c r="E17" s="9" t="n">
        <v>15600</v>
      </c>
      <c r="F17" s="10">
        <f>IF(OR(E17="",E17=0),"",D17/E17)</f>
        <v>0.03852564102564102</v>
      </c>
      <c r="G17" s="6" t="inlineStr">
        <is>
          <t>一般</t>
        </is>
      </c>
    </row>
    <row r="18">
      <c r="A18" s="6" t="inlineStr">
        <is>
          <t>准确性</t>
        </is>
      </c>
      <c r="B18" s="8" t="inlineStr">
        <is>
          <t>ods_order_item.quantity</t>
        </is>
      </c>
      <c r="C18" s="8" t="inlineStr">
        <is>
          <t>异常行数（&lt;=0 或 &gt;50）</t>
        </is>
      </c>
      <c r="D18" s="9" t="n">
        <v>1081</v>
      </c>
      <c r="E18" s="9" t="n">
        <v>37549</v>
      </c>
      <c r="F18" s="10">
        <f>IF(OR(E18="",E18=0),"",D18/E18)</f>
        <v>0.028789048976004688</v>
      </c>
      <c r="G18" s="6" t="inlineStr">
        <is>
          <t>一般</t>
        </is>
      </c>
    </row>
    <row r="19">
      <c r="A19" s="6" t="inlineStr">
        <is>
          <t>有效性</t>
        </is>
      </c>
      <c r="B19" s="8" t="inlineStr">
        <is>
          <t>ods_order.order_status</t>
        </is>
      </c>
      <c r="C19" s="8" t="inlineStr">
        <is>
          <t>不规范取值行数（数字码/cancelled/完成等）</t>
        </is>
      </c>
      <c r="D19" s="9" t="n">
        <v>1178</v>
      </c>
      <c r="E19" s="9" t="n">
        <v>15600</v>
      </c>
      <c r="F19" s="10">
        <f>IF(OR(E19="",E19=0),"",D19/E19)</f>
        <v>0.07551282051282052</v>
      </c>
      <c r="G19" s="6" t="inlineStr">
        <is>
          <t>严重</t>
        </is>
      </c>
    </row>
    <row r="20">
      <c r="A20" s="6" t="inlineStr">
        <is>
          <t>有效性</t>
        </is>
      </c>
      <c r="B20" s="8" t="inlineStr">
        <is>
          <t>ods_order.pay_type</t>
        </is>
      </c>
      <c r="C20" s="8" t="inlineStr">
        <is>
          <t>中英文混用行数（wechat/微信/alipay）</t>
        </is>
      </c>
      <c r="D20" s="9" t="n">
        <v>651</v>
      </c>
      <c r="E20" s="9" t="n">
        <v>15600</v>
      </c>
      <c r="F20" s="10">
        <f>IF(OR(E20="",E20=0),"",D20/E20)</f>
        <v>0.04173076923076923</v>
      </c>
      <c r="G20" s="6" t="inlineStr">
        <is>
          <t>一般</t>
        </is>
      </c>
    </row>
    <row r="21">
      <c r="A21" s="6" t="inlineStr">
        <is>
          <t>有效性</t>
        </is>
      </c>
      <c r="B21" s="8" t="inlineStr">
        <is>
          <t>ods_order.channel</t>
        </is>
      </c>
      <c r="C21" s="8" t="inlineStr">
        <is>
          <t>大小写混用行数（app/pc）</t>
        </is>
      </c>
      <c r="D21" s="9" t="n">
        <v>310</v>
      </c>
      <c r="E21" s="9" t="n">
        <v>15600</v>
      </c>
      <c r="F21" s="10">
        <f>IF(OR(E21="",E21=0),"",D21/E21)</f>
        <v>0.01987179487179487</v>
      </c>
      <c r="G21" s="6" t="inlineStr">
        <is>
          <t>一般</t>
        </is>
      </c>
    </row>
    <row r="22">
      <c r="A22" s="6" t="inlineStr">
        <is>
          <t>有效性</t>
        </is>
      </c>
      <c r="B22" s="8" t="inlineStr">
        <is>
          <t>ods_user.gender</t>
        </is>
      </c>
      <c r="C22" s="8" t="inlineStr">
        <is>
          <t>中英文混用行数（male/F/M/female/未知/空）</t>
        </is>
      </c>
      <c r="D22" s="9" t="n">
        <v>606</v>
      </c>
      <c r="E22" s="9" t="n">
        <v>1000</v>
      </c>
      <c r="F22" s="10">
        <f>IF(OR(E22="",E22=0),"",D22/E22)</f>
        <v>0.606</v>
      </c>
      <c r="G22" s="6" t="inlineStr">
        <is>
          <t>严重</t>
        </is>
      </c>
    </row>
    <row r="23">
      <c r="A23" s="6" t="inlineStr">
        <is>
          <t>有效性</t>
        </is>
      </c>
      <c r="B23" s="8" t="inlineStr">
        <is>
          <t>ods_user.member_level</t>
        </is>
      </c>
      <c r="C23" s="8" t="inlineStr">
        <is>
          <t>简写与英文混用行数（gold/silver/normal/金卡等）</t>
        </is>
      </c>
      <c r="D23" s="9" t="n">
        <v>108</v>
      </c>
      <c r="E23" s="9" t="n">
        <v>1000</v>
      </c>
      <c r="F23" s="10">
        <f>IF(OR(E23="",E23=0),"",D23/E23)</f>
        <v>0.108</v>
      </c>
      <c r="G23" s="6" t="inlineStr">
        <is>
          <t>严重</t>
        </is>
      </c>
    </row>
    <row r="24">
      <c r="A24" s="6" t="inlineStr">
        <is>
          <t>有效性</t>
        </is>
      </c>
      <c r="B24" s="8" t="inlineStr">
        <is>
          <t>ods_user_behavior.behavior_type</t>
        </is>
      </c>
      <c r="C24" s="8" t="inlineStr">
        <is>
          <t>中英文与大小写混用行数</t>
        </is>
      </c>
      <c r="D24" s="9" t="n">
        <v>3672</v>
      </c>
      <c r="E24" s="9" t="n">
        <v>60000</v>
      </c>
      <c r="F24" s="10">
        <f>IF(OR(E24="",E24=0),"",D24/E24)</f>
        <v>0.0612</v>
      </c>
      <c r="G24" s="6" t="inlineStr">
        <is>
          <t>一般</t>
        </is>
      </c>
    </row>
    <row r="25">
      <c r="A25" s="6" t="inlineStr">
        <is>
          <t>一致性</t>
        </is>
      </c>
      <c r="B25" s="8" t="inlineStr">
        <is>
          <t>ods_user.register_date</t>
        </is>
      </c>
      <c r="C25" s="8" t="inlineStr">
        <is>
          <t>非标准格式行数（YYYY/MM/DD 或 YYYYMMDD）</t>
        </is>
      </c>
      <c r="D25" s="9" t="n">
        <v>125</v>
      </c>
      <c r="E25" s="9" t="n">
        <v>1000</v>
      </c>
      <c r="F25" s="10">
        <f>IF(OR(E25="",E25=0),"",D25/E25)</f>
        <v>0.125</v>
      </c>
      <c r="G25" s="6" t="inlineStr">
        <is>
          <t>严重</t>
        </is>
      </c>
    </row>
    <row r="26">
      <c r="A26" s="6" t="inlineStr">
        <is>
          <t>一致性</t>
        </is>
      </c>
      <c r="B26" s="8" t="inlineStr">
        <is>
          <t>ods_order.order_date</t>
        </is>
      </c>
      <c r="C26" s="8" t="inlineStr">
        <is>
          <t>非标准格式行数（YYYY/MM/DD）</t>
        </is>
      </c>
      <c r="D26" s="9" t="n">
        <v>1902</v>
      </c>
      <c r="E26" s="9" t="n">
        <v>15600</v>
      </c>
      <c r="F26" s="10">
        <f>IF(OR(E26="",E26=0),"",D26/E26)</f>
        <v>0.12192307692307693</v>
      </c>
      <c r="G26" s="6" t="inlineStr">
        <is>
          <t>严重</t>
        </is>
      </c>
    </row>
    <row r="27">
      <c r="A27" s="6" t="inlineStr">
        <is>
          <t>一致性</t>
        </is>
      </c>
      <c r="B27" s="8" t="inlineStr">
        <is>
          <t>ods_user.phone</t>
        </is>
      </c>
      <c r="C27" s="8" t="inlineStr">
        <is>
          <t>带横线格式行数</t>
        </is>
      </c>
      <c r="D27" s="9" t="n">
        <v>102</v>
      </c>
      <c r="E27" s="9" t="n">
        <v>1000</v>
      </c>
      <c r="F27" s="10">
        <f>IF(OR(E27="",E27=0),"",D27/E27)</f>
        <v>0.102</v>
      </c>
      <c r="G27" s="6" t="inlineStr">
        <is>
          <t>一般</t>
        </is>
      </c>
    </row>
  </sheetData>
  <autoFilter ref="A2:G27"/>
  <mergeCells count="1">
    <mergeCell ref="A1:G1"/>
  </mergeCells>
  <conditionalFormatting sqref="G3:G27">
    <cfRule type="cellIs" priority="1" operator="equal" dxfId="0">
      <formula>"严重"</formula>
    </cfRule>
    <cfRule type="cellIs" priority="2" operator="equal" dxfId="1">
      <formula>"一般"</formula>
    </cfRule>
    <cfRule type="cellIs" priority="3" operator="equal" dxfId="2">
      <formula>"良好"</formula>
    </cfRule>
  </conditionalFormatting>
  <conditionalFormatting sqref="F3:F27">
    <cfRule type="cellIs" priority="4" operator="greaterThanOrEqual" dxfId="3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2" customWidth="1" min="3" max="3"/>
    <col width="30" customWidth="1" min="4" max="4"/>
    <col width="8" customWidth="1" min="5" max="5"/>
  </cols>
  <sheetData>
    <row r="1">
      <c r="A1" s="1" t="inlineStr">
        <is>
          <t>清洗（一）执行结果 —— 缺失值处理（输出 dwd_user / dwd_product）</t>
        </is>
      </c>
    </row>
    <row r="2">
      <c r="A2" s="2" t="inlineStr">
        <is>
          <t>表.字段</t>
        </is>
      </c>
      <c r="B2" s="2" t="inlineStr">
        <is>
          <t>缺失数</t>
        </is>
      </c>
      <c r="C2" s="2" t="inlineStr">
        <is>
          <t>处理策略</t>
        </is>
      </c>
      <c r="D2" s="2" t="inlineStr">
        <is>
          <t>清洗后校验</t>
        </is>
      </c>
      <c r="E2" s="2" t="inlineStr">
        <is>
          <t>结果</t>
        </is>
      </c>
    </row>
    <row r="3">
      <c r="A3" s="5" t="inlineStr">
        <is>
          <t>ods_user.age（另异常 19 行）</t>
        </is>
      </c>
      <c r="B3" s="11" t="n">
        <v>51</v>
      </c>
      <c r="C3" s="5" t="inlineStr">
        <is>
          <t>异常值(&lt;1 或 &gt;120)置 NULL 后按 gender 分组中位数填充</t>
        </is>
      </c>
      <c r="D3" s="5" t="inlineStr">
        <is>
          <t>age_null_left=0，age_abnormal_left=0</t>
        </is>
      </c>
      <c r="E3" s="3" t="inlineStr">
        <is>
          <t>通过</t>
        </is>
      </c>
    </row>
    <row r="4">
      <c r="A4" s="8" t="inlineStr">
        <is>
          <t>ods_user.email</t>
        </is>
      </c>
      <c r="B4" s="9" t="n">
        <v>193</v>
      </c>
      <c r="C4" s="8" t="inlineStr">
        <is>
          <t>保留空值并新增 email_missing 标记列</t>
        </is>
      </c>
      <c r="D4" s="8" t="inlineStr">
        <is>
          <t>标记分布：0→807，1→193</t>
        </is>
      </c>
      <c r="E4" s="6" t="inlineStr">
        <is>
          <t>通过</t>
        </is>
      </c>
    </row>
    <row r="5">
      <c r="A5" s="5" t="inlineStr">
        <is>
          <t>ods_product.launch_date</t>
        </is>
      </c>
      <c r="B5" s="11" t="n">
        <v>11</v>
      </c>
      <c r="C5" s="5" t="inlineStr">
        <is>
          <t>按 trim(category) 同类目最早上架日期补全</t>
        </is>
      </c>
      <c r="D5" s="5" t="inlineStr">
        <is>
          <t>launch_date_null_left=0</t>
        </is>
      </c>
      <c r="E5" s="3" t="inlineStr">
        <is>
          <t>通过</t>
        </is>
      </c>
    </row>
    <row r="8">
      <c r="A8" s="12" t="inlineStr">
        <is>
          <t>清洗（一）执行结果 —— 重复值去重（输出 dwd_order，脚本 sql/clean/dedup.sql）</t>
        </is>
      </c>
    </row>
    <row r="9">
      <c r="A9" s="2" t="inlineStr">
        <is>
          <t>指标</t>
        </is>
      </c>
      <c r="B9" s="2" t="inlineStr">
        <is>
          <t>数值</t>
        </is>
      </c>
      <c r="C9" s="2" t="inlineStr">
        <is>
          <t>说明</t>
        </is>
      </c>
    </row>
    <row r="10">
      <c r="A10" s="8" t="inlineStr">
        <is>
          <t>去重前 ods_order 行数</t>
        </is>
      </c>
      <c r="B10" s="9" t="n">
        <v>15600</v>
      </c>
      <c r="C10" s="8" t="inlineStr">
        <is>
          <t>select count(*) from ods_order</t>
        </is>
      </c>
    </row>
    <row r="11">
      <c r="A11" s="8" t="inlineStr">
        <is>
          <t>重复 order_id 个数</t>
        </is>
      </c>
      <c r="B11" s="9" t="n">
        <v>586</v>
      </c>
      <c r="C11" s="8" t="inlineStr">
        <is>
          <t>group by order_id having count(*)&gt;1</t>
        </is>
      </c>
    </row>
    <row r="12">
      <c r="A12" s="8" t="inlineStr">
        <is>
          <t>多余重复行数</t>
        </is>
      </c>
      <c r="B12" s="9" t="n">
        <v>600</v>
      </c>
      <c r="C12" s="8" t="inlineStr">
        <is>
          <t>sum(c-1)，其中整行重复 394 组、主键重复内容不同 192 组</t>
        </is>
      </c>
    </row>
    <row r="13">
      <c r="A13" s="8" t="inlineStr">
        <is>
          <t>去重后 dwd_order 行数</t>
        </is>
      </c>
      <c r="B13" s="9">
        <f>B10-B12</f>
        <v>15000.0</v>
      </c>
      <c r="C13" s="8" t="inlineStr">
        <is>
          <t>row_number() over(partition by order_id order by order_time desc) 取 rn=1</t>
        </is>
      </c>
    </row>
    <row r="14">
      <c r="A14" s="13" t="inlineStr">
        <is>
          <t>去重后 order_id 重复数</t>
        </is>
      </c>
      <c r="B14" s="14" t="n">
        <v>0</v>
      </c>
      <c r="C14" s="13" t="inlineStr">
        <is>
          <t>校验通过（0 表示无重复）</t>
        </is>
      </c>
    </row>
  </sheetData>
  <mergeCells count="2">
    <mergeCell ref="A1:E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数据质量预评估表</dc:title>
  <dcterms:created xsi:type="dcterms:W3CDTF">2026-10-27T00:53:45Z</dcterms:created>
  <dcterms:modified xsi:type="dcterms:W3CDTF">2026-10-27T00:53:45Z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{"Label":"1","ContentProducer":"00119111010856365494821B355","ProduceID":"8b380cf133b24a1193a0b0f230fd90df","ContentPropagator":"00119111010856365494821B355","PropagateID":"8b380cf133b24a1193a0b0f230fd90df"}</vt:lpwstr>
  </property>
</Properties>
</file>